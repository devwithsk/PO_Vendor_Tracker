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ONU KUMAR\Music\"/>
    </mc:Choice>
  </mc:AlternateContent>
  <xr:revisionPtr revIDLastSave="0" documentId="13_ncr:1_{E901DBDF-96C0-4CF4-854D-12DD0653F31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Vendor_Master" sheetId="1" r:id="rId1"/>
    <sheet name="PO_Log" sheetId="2" r:id="rId2"/>
    <sheet name="Vendor_Performa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3" l="1"/>
  <c r="B6" i="3"/>
  <c r="B7" i="3"/>
  <c r="B8" i="3"/>
  <c r="B9" i="3"/>
  <c r="B4" i="3"/>
  <c r="K8" i="2"/>
  <c r="K12" i="2"/>
  <c r="K16" i="2"/>
  <c r="K17" i="2"/>
  <c r="K20" i="2"/>
  <c r="K24" i="2"/>
  <c r="F5" i="2"/>
  <c r="F6" i="2"/>
  <c r="G6" i="2" s="1"/>
  <c r="K6" i="2" s="1"/>
  <c r="F7" i="2"/>
  <c r="F8" i="2"/>
  <c r="G8" i="2" s="1"/>
  <c r="F9" i="2"/>
  <c r="G9" i="2" s="1"/>
  <c r="K9" i="2" s="1"/>
  <c r="F10" i="2"/>
  <c r="F11" i="2"/>
  <c r="F12" i="2"/>
  <c r="G12" i="2" s="1"/>
  <c r="F13" i="2"/>
  <c r="G13" i="2" s="1"/>
  <c r="K13" i="2" s="1"/>
  <c r="F14" i="2"/>
  <c r="G14" i="2" s="1"/>
  <c r="K14" i="2" s="1"/>
  <c r="F15" i="2"/>
  <c r="F16" i="2"/>
  <c r="G16" i="2" s="1"/>
  <c r="F17" i="2"/>
  <c r="F18" i="2"/>
  <c r="G18" i="2" s="1"/>
  <c r="K18" i="2" s="1"/>
  <c r="F19" i="2"/>
  <c r="F20" i="2"/>
  <c r="G20" i="2" s="1"/>
  <c r="F21" i="2"/>
  <c r="F22" i="2"/>
  <c r="G22" i="2" s="1"/>
  <c r="K22" i="2" s="1"/>
  <c r="F23" i="2"/>
  <c r="F24" i="2"/>
  <c r="G24" i="2" s="1"/>
  <c r="F25" i="2"/>
  <c r="G25" i="2" s="1"/>
  <c r="F4" i="2"/>
  <c r="G4" i="2" s="1"/>
  <c r="K4" i="2" s="1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4" i="2"/>
  <c r="H9" i="3"/>
  <c r="C9" i="3"/>
  <c r="H8" i="3"/>
  <c r="C8" i="3"/>
  <c r="H7" i="3"/>
  <c r="C7" i="3"/>
  <c r="H6" i="3"/>
  <c r="C6" i="3"/>
  <c r="H5" i="3"/>
  <c r="C5" i="3"/>
  <c r="H4" i="3"/>
  <c r="C17" i="3" s="1"/>
  <c r="C4" i="3"/>
  <c r="G23" i="2"/>
  <c r="K23" i="2" s="1"/>
  <c r="G21" i="2"/>
  <c r="K21" i="2" s="1"/>
  <c r="G19" i="2"/>
  <c r="J19" i="2" s="1"/>
  <c r="G17" i="2"/>
  <c r="G15" i="2"/>
  <c r="K15" i="2" s="1"/>
  <c r="G11" i="2"/>
  <c r="K11" i="2" s="1"/>
  <c r="G10" i="2"/>
  <c r="K10" i="2" s="1"/>
  <c r="G7" i="2"/>
  <c r="K7" i="2" s="1"/>
  <c r="G5" i="2"/>
  <c r="K5" i="2" s="1"/>
  <c r="J25" i="2" l="1"/>
  <c r="K25" i="2"/>
  <c r="K19" i="2"/>
  <c r="C13" i="3"/>
  <c r="J12" i="2"/>
  <c r="J20" i="2"/>
  <c r="J10" i="2"/>
  <c r="J18" i="2"/>
  <c r="J8" i="2"/>
  <c r="J16" i="2"/>
  <c r="J24" i="2"/>
  <c r="J6" i="2"/>
  <c r="J14" i="2"/>
  <c r="J22" i="2"/>
  <c r="J4" i="2"/>
  <c r="J7" i="2"/>
  <c r="J9" i="2"/>
  <c r="J11" i="2"/>
  <c r="J15" i="2"/>
  <c r="J17" i="2"/>
  <c r="J5" i="2"/>
  <c r="J21" i="2"/>
  <c r="J23" i="2"/>
  <c r="J13" i="2"/>
  <c r="G8" i="3" l="1"/>
  <c r="I8" i="3"/>
  <c r="E8" i="3"/>
  <c r="I9" i="3"/>
  <c r="D9" i="3"/>
  <c r="E9" i="3"/>
  <c r="G9" i="3"/>
  <c r="E7" i="3"/>
  <c r="D7" i="3"/>
  <c r="I7" i="3"/>
  <c r="G7" i="3"/>
  <c r="D8" i="3"/>
  <c r="E4" i="3"/>
  <c r="C16" i="3"/>
  <c r="I4" i="3"/>
  <c r="D4" i="3"/>
  <c r="G4" i="3"/>
  <c r="E5" i="3"/>
  <c r="D5" i="3"/>
  <c r="F5" i="3" s="1"/>
  <c r="I5" i="3"/>
  <c r="G5" i="3"/>
  <c r="E6" i="3"/>
  <c r="I6" i="3"/>
  <c r="D6" i="3"/>
  <c r="G6" i="3"/>
  <c r="F9" i="3" l="1"/>
  <c r="F6" i="3"/>
  <c r="F8" i="3"/>
  <c r="F7" i="3"/>
  <c r="C15" i="3"/>
  <c r="F4" i="3"/>
  <c r="C14" i="3"/>
</calcChain>
</file>

<file path=xl/sharedStrings.xml><?xml version="1.0" encoding="utf-8"?>
<sst xmlns="http://schemas.openxmlformats.org/spreadsheetml/2006/main" count="101" uniqueCount="64">
  <si>
    <t>Automated Purchase Order &amp; Vendor Tracker — Vendor Master</t>
  </si>
  <si>
    <t>Vendor ID</t>
  </si>
  <si>
    <t>Vendor Name</t>
  </si>
  <si>
    <t>Supply Category</t>
  </si>
  <si>
    <t>Standard Lead Time (Days)</t>
  </si>
  <si>
    <t>VEN-01</t>
  </si>
  <si>
    <t>Apex Components Pvt Ltd</t>
  </si>
  <si>
    <t>Raw Materials</t>
  </si>
  <si>
    <t>VEN-02</t>
  </si>
  <si>
    <t>Skyline Packaging Co</t>
  </si>
  <si>
    <t>Packaging</t>
  </si>
  <si>
    <t>VEN-03</t>
  </si>
  <si>
    <t>Bharat Steel Traders</t>
  </si>
  <si>
    <t>VEN-04</t>
  </si>
  <si>
    <t>Quickship Logistics Supplies</t>
  </si>
  <si>
    <t>VEN-05</t>
  </si>
  <si>
    <t>Prime Electronics Distributors</t>
  </si>
  <si>
    <t>Components</t>
  </si>
  <si>
    <t>VEN-06</t>
  </si>
  <si>
    <t>Metro Office Supplies</t>
  </si>
  <si>
    <t>Office/Consumables</t>
  </si>
  <si>
    <t>PO Number</t>
  </si>
  <si>
    <t>PO Date</t>
  </si>
  <si>
    <t>Expected Delivery Date</t>
  </si>
  <si>
    <t>Actual Delivery Date</t>
  </si>
  <si>
    <t>Order Value (₹)</t>
  </si>
  <si>
    <t>Delivery Status</t>
  </si>
  <si>
    <t>Delay / Advance (Days)</t>
  </si>
  <si>
    <t>PO-4001</t>
  </si>
  <si>
    <t>PO-4002</t>
  </si>
  <si>
    <t>PO-4003</t>
  </si>
  <si>
    <t>PO-4004</t>
  </si>
  <si>
    <t>PO-4005</t>
  </si>
  <si>
    <t>PO-4006</t>
  </si>
  <si>
    <t>PO-4007</t>
  </si>
  <si>
    <t>PO-4008</t>
  </si>
  <si>
    <t>PO-4009</t>
  </si>
  <si>
    <t>PO-4010</t>
  </si>
  <si>
    <t>PO-4011</t>
  </si>
  <si>
    <t>PO-4012</t>
  </si>
  <si>
    <t>PO-4013</t>
  </si>
  <si>
    <t>PO-4014</t>
  </si>
  <si>
    <t>PO-4015</t>
  </si>
  <si>
    <t>PO-4016</t>
  </si>
  <si>
    <t>PO-4017</t>
  </si>
  <si>
    <t>PO-4018</t>
  </si>
  <si>
    <t>PO-4019</t>
  </si>
  <si>
    <t>PO-4020</t>
  </si>
  <si>
    <t>PO-4021</t>
  </si>
  <si>
    <t>PO-4022</t>
  </si>
  <si>
    <t>Vendor Performance Dashboard</t>
  </si>
  <si>
    <t>Total POs</t>
  </si>
  <si>
    <t>Delivered</t>
  </si>
  <si>
    <t>On-Time Delivered</t>
  </si>
  <si>
    <t>On-Time Rate %</t>
  </si>
  <si>
    <t>Pending (Overdue + In Transit)</t>
  </si>
  <si>
    <t>Total Order Value (₹)</t>
  </si>
  <si>
    <t>Avg Delay (Days, late POs only)</t>
  </si>
  <si>
    <t>Overall Snapshot</t>
  </si>
  <si>
    <t>Total POs Raised</t>
  </si>
  <si>
    <t>Total Delivered</t>
  </si>
  <si>
    <t>Overall On-Time Rate %</t>
  </si>
  <si>
    <t>Total Overdue POs (action needed now)</t>
  </si>
  <si>
    <t>Automated Purchase Order &amp; Vendor Tracker — Purchase Order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</si>
</sst>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\-mmm\-yyyy"/>
    <numFmt numFmtId="166" formatCode="\₹#,##0"/>
    <numFmt numFmtId="167" formatCode="0.0"/>
  </numFmts>
  <fonts count="6" x14ac:knownFonts="1">
    <font>
      <sz val="11"/>
      <color theme="1"/>
      <name val="Calibri"/>
      <family val="2"/>
      <scheme val="minor"/>
    </font>
    <font>
      <b/>
      <sz val="14"/>
      <color rgb="FF1F4E78"/>
      <name val="Arial"/>
    </font>
    <font>
      <b/>
      <sz val="11"/>
      <color rgb="FFFFFFFF"/>
      <name val="Arial"/>
    </font>
    <font>
      <b/>
      <sz val="11"/>
      <name val="Calibri"/>
    </font>
    <font>
      <b/>
      <sz val="12"/>
      <color rgb="FF1F4E78"/>
      <name val="Calibri"/>
    </font>
    <font>
      <b/>
      <sz val="12"/>
      <color rgb="FF1F4E7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0" xfId="0" applyFont="1" applyFill="1" applyAlignment="1">
      <alignment horizontal="center" wrapText="1"/>
    </xf>
    <xf numFmtId="165" fontId="0" fillId="0" borderId="0" xfId="0" applyNumberFormat="1"/>
    <xf numFmtId="166" fontId="0" fillId="0" borderId="0" xfId="0" applyNumberFormat="1"/>
    <xf numFmtId="9" fontId="0" fillId="0" borderId="0" xfId="0" applyNumberFormat="1"/>
    <xf numFmtId="167" fontId="0" fillId="0" borderId="0" xfId="0" applyNumberFormat="1"/>
    <xf numFmtId="0" fontId="0" fillId="0" borderId="0" xfId="0" applyAlignment="1"/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/>
    <xf numFmtId="0" fontId="0" fillId="0" borderId="1" xfId="0" applyBorder="1"/>
    <xf numFmtId="9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9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C6EFCE"/>
          <bgColor rgb="FFC6EFCE"/>
        </patternFill>
      </fill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dorMaster" displayName="VendorMaster" ref="A3:D9">
  <autoFilter ref="A3:D9" xr:uid="{00000000-0009-0000-0100-000001000000}"/>
  <tableColumns count="4">
    <tableColumn id="1" xr3:uid="{00000000-0010-0000-0000-000001000000}" name="Vendor ID"/>
    <tableColumn id="2" xr3:uid="{00000000-0010-0000-0000-000002000000}" name="Vendor Name"/>
    <tableColumn id="3" xr3:uid="{00000000-0010-0000-0000-000003000000}" name="Supply Category"/>
    <tableColumn id="4" xr3:uid="{00000000-0010-0000-0000-000004000000}" name="Standard Lead Time (Days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OLog" displayName="POLog" ref="A3:K25">
  <autoFilter ref="A3:K25" xr:uid="{00000000-0009-0000-0100-000002000000}"/>
  <tableColumns count="11">
    <tableColumn id="1" xr3:uid="{00000000-0010-0000-0100-000001000000}" name="PO Number"/>
    <tableColumn id="2" xr3:uid="{00000000-0010-0000-0100-000002000000}" name="Vendor ID"/>
    <tableColumn id="3" xr3:uid="{00000000-0010-0000-0100-000003000000}" name="Vendor Name">
      <calculatedColumnFormula>_xlfn.XLOOKUP(POLog[[#This Row],[Vendor ID]],VendorMaster[Vendor ID],VendorMaster[Vendor Name])</calculatedColumnFormula>
    </tableColumn>
    <tableColumn id="4" xr3:uid="{00000000-0010-0000-0100-000004000000}" name="Supply Category">
      <calculatedColumnFormula>_xlfn.XLOOKUP(POLog[[#This Row],[Vendor ID]], VendorMaster[Vendor ID], VendorMaster[Supply Category])</calculatedColumnFormula>
    </tableColumn>
    <tableColumn id="5" xr3:uid="{00000000-0010-0000-0100-000005000000}" name="PO Date"/>
    <tableColumn id="6" xr3:uid="{00000000-0010-0000-0100-000006000000}" name="Standard Lead Time (Days)">
      <calculatedColumnFormula>_xlfn.XLOOKUP(POLog[[#This Row],[Vendor ID]], VendorMaster[Vendor ID], VendorMaster[Standard Lead Time (Days)])</calculatedColumnFormula>
    </tableColumn>
    <tableColumn id="7" xr3:uid="{00000000-0010-0000-0100-000007000000}" name="Expected Delivery Date"/>
    <tableColumn id="8" xr3:uid="{00000000-0010-0000-0100-000008000000}" name="Actual Delivery Date"/>
    <tableColumn id="9" xr3:uid="{00000000-0010-0000-0100-000009000000}" name="Order Value (₹)"/>
    <tableColumn id="10" xr3:uid="{00000000-0010-0000-0100-00000A000000}" name="Delivery Status"/>
    <tableColumn id="11" xr3:uid="{00000000-0010-0000-0100-00000B000000}" name="Delay / Advance (Days)" dataDxfId="8">
      <calculatedColumnFormula>IFERROR(IF(H4&lt;&gt;"",IF(H4&gt;G4,N(H4)-N(G4),0),IF(N(Vendor_Master!$B$9)&gt;N(G4),N(Vendor_Master!$B$9)-N(G4),0)),0)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VendorPerformance" displayName="VendorPerformance" ref="A3:I9">
  <autoFilter ref="A3:I9" xr:uid="{00000000-0009-0000-0100-000003000000}"/>
  <tableColumns count="9">
    <tableColumn id="1" xr3:uid="{00000000-0010-0000-0200-000001000000}" name="Vendor ID"/>
    <tableColumn id="2" xr3:uid="{00000000-0010-0000-0200-000002000000}" name="Vendor Name">
      <calculatedColumnFormula>_xlfn.XLOOKUP(VendorPerformance[[#This Row],[Vendor ID]], VendorMaster[Vendor ID], VendorMaster[Vendor Name])</calculatedColumnFormula>
    </tableColumn>
    <tableColumn id="3" xr3:uid="{00000000-0010-0000-0200-000003000000}" name="Total POs"/>
    <tableColumn id="4" xr3:uid="{00000000-0010-0000-0200-000004000000}" name="Delivered"/>
    <tableColumn id="5" xr3:uid="{00000000-0010-0000-0200-000005000000}" name="On-Time Delivered"/>
    <tableColumn id="6" xr3:uid="{00000000-0010-0000-0200-000006000000}" name="On-Time Rate %"/>
    <tableColumn id="7" xr3:uid="{00000000-0010-0000-0200-000007000000}" name="Pending (Overdue + In Transit)"/>
    <tableColumn id="8" xr3:uid="{00000000-0010-0000-0200-000008000000}" name="Total Order Value (₹)"/>
    <tableColumn id="9" xr3:uid="{00000000-0010-0000-0200-000009000000}" name="Avg Delay (Days, late POs only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C10" sqref="C10"/>
    </sheetView>
  </sheetViews>
  <sheetFormatPr defaultRowHeight="15" x14ac:dyDescent="0.25"/>
  <cols>
    <col min="1" max="1" width="14.7109375" customWidth="1"/>
    <col min="2" max="2" width="27.7109375" bestFit="1" customWidth="1"/>
    <col min="3" max="3" width="22.42578125" bestFit="1" customWidth="1"/>
    <col min="4" max="4" width="22" customWidth="1"/>
  </cols>
  <sheetData>
    <row r="1" spans="1:4" x14ac:dyDescent="0.25">
      <c r="A1" s="8" t="s">
        <v>0</v>
      </c>
      <c r="B1" s="8"/>
      <c r="C1" s="8"/>
      <c r="D1" s="8"/>
    </row>
    <row r="2" spans="1:4" x14ac:dyDescent="0.25">
      <c r="A2" s="8"/>
      <c r="B2" s="8"/>
      <c r="C2" s="8"/>
      <c r="D2" s="8"/>
    </row>
    <row r="3" spans="1:4" ht="30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4" x14ac:dyDescent="0.25">
      <c r="A4" t="s">
        <v>5</v>
      </c>
      <c r="B4" t="s">
        <v>6</v>
      </c>
      <c r="C4" t="s">
        <v>7</v>
      </c>
      <c r="D4">
        <v>7</v>
      </c>
    </row>
    <row r="5" spans="1:4" x14ac:dyDescent="0.25">
      <c r="A5" t="s">
        <v>8</v>
      </c>
      <c r="B5" t="s">
        <v>9</v>
      </c>
      <c r="C5" t="s">
        <v>10</v>
      </c>
      <c r="D5">
        <v>5</v>
      </c>
    </row>
    <row r="6" spans="1:4" x14ac:dyDescent="0.25">
      <c r="A6" t="s">
        <v>11</v>
      </c>
      <c r="B6" t="s">
        <v>12</v>
      </c>
      <c r="C6" t="s">
        <v>7</v>
      </c>
      <c r="D6">
        <v>10</v>
      </c>
    </row>
    <row r="7" spans="1:4" x14ac:dyDescent="0.25">
      <c r="A7" t="s">
        <v>13</v>
      </c>
      <c r="B7" t="s">
        <v>14</v>
      </c>
      <c r="C7" t="s">
        <v>10</v>
      </c>
      <c r="D7">
        <v>4</v>
      </c>
    </row>
    <row r="8" spans="1:4" x14ac:dyDescent="0.25">
      <c r="A8" t="s">
        <v>15</v>
      </c>
      <c r="B8" t="s">
        <v>16</v>
      </c>
      <c r="C8" t="s">
        <v>17</v>
      </c>
      <c r="D8">
        <v>8</v>
      </c>
    </row>
    <row r="9" spans="1:4" x14ac:dyDescent="0.25">
      <c r="A9" t="s">
        <v>18</v>
      </c>
      <c r="B9" t="s">
        <v>19</v>
      </c>
      <c r="C9" t="s">
        <v>20</v>
      </c>
      <c r="D9">
        <v>3</v>
      </c>
    </row>
  </sheetData>
  <mergeCells count="1">
    <mergeCell ref="A1:D2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workbookViewId="0">
      <pane ySplit="3" topLeftCell="A4" activePane="bottomLeft" state="frozen"/>
      <selection pane="bottomLeft" activeCell="D10" sqref="D10"/>
    </sheetView>
  </sheetViews>
  <sheetFormatPr defaultRowHeight="15" x14ac:dyDescent="0.25"/>
  <cols>
    <col min="1" max="2" width="10" customWidth="1"/>
    <col min="3" max="3" width="24" customWidth="1"/>
    <col min="4" max="4" width="16" customWidth="1"/>
    <col min="5" max="5" width="13" customWidth="1"/>
    <col min="6" max="6" width="15" customWidth="1"/>
    <col min="7" max="8" width="17" customWidth="1"/>
    <col min="9" max="9" width="14" customWidth="1"/>
    <col min="10" max="10" width="18" customWidth="1"/>
    <col min="11" max="11" width="15" customWidth="1"/>
  </cols>
  <sheetData>
    <row r="1" spans="1:12" ht="18" customHeight="1" x14ac:dyDescent="0.25">
      <c r="A1" s="7" t="s">
        <v>63</v>
      </c>
      <c r="B1" s="7"/>
      <c r="C1" s="7"/>
      <c r="D1" s="7"/>
      <c r="E1" s="7"/>
      <c r="F1" s="7"/>
      <c r="G1" s="7"/>
      <c r="H1" s="7"/>
      <c r="I1" s="7"/>
      <c r="J1" s="7"/>
      <c r="K1" s="7"/>
      <c r="L1" s="6"/>
    </row>
    <row r="2" spans="1:12" ht="15" customHeight="1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6"/>
    </row>
    <row r="3" spans="1:12" ht="45" x14ac:dyDescent="0.25">
      <c r="A3" s="1" t="s">
        <v>21</v>
      </c>
      <c r="B3" s="1" t="s">
        <v>1</v>
      </c>
      <c r="C3" s="1" t="s">
        <v>2</v>
      </c>
      <c r="D3" s="1" t="s">
        <v>3</v>
      </c>
      <c r="E3" s="1" t="s">
        <v>22</v>
      </c>
      <c r="F3" s="1" t="s">
        <v>4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</row>
    <row r="4" spans="1:12" x14ac:dyDescent="0.25">
      <c r="A4" t="s">
        <v>28</v>
      </c>
      <c r="B4" t="s">
        <v>5</v>
      </c>
      <c r="C4" t="str">
        <f>_xlfn.XLOOKUP(POLog[[#This Row],[Vendor ID]],VendorMaster[Vendor ID],VendorMaster[Vendor Name])</f>
        <v>Apex Components Pvt Ltd</v>
      </c>
      <c r="D4" t="str">
        <f>_xlfn.XLOOKUP(POLog[[#This Row],[Vendor ID]], VendorMaster[Vendor ID], VendorMaster[Supply Category])</f>
        <v>Raw Materials</v>
      </c>
      <c r="E4" s="2">
        <v>46195</v>
      </c>
      <c r="F4">
        <f>_xlfn.XLOOKUP(POLog[[#This Row],[Vendor ID]], VendorMaster[Vendor ID], VendorMaster[Standard Lead Time (Days)])</f>
        <v>7</v>
      </c>
      <c r="G4" s="2">
        <f t="shared" ref="G4:G25" si="0">E4+F4</f>
        <v>46202</v>
      </c>
      <c r="H4" s="2">
        <v>46201</v>
      </c>
      <c r="I4" s="3">
        <v>62000</v>
      </c>
      <c r="J4" t="str">
        <f>IF(H4&lt;&gt;"",IF(H4&lt;=G4,"Delivered - On Time","Delivered - Late"),IF(Vendor_Master!#REF!&gt;G4,"Overdue","In Transit"))</f>
        <v>Delivered - On Time</v>
      </c>
      <c r="K4">
        <f>IFERROR(IF(H4&lt;&gt;"",IF(H4&gt;G4,N(H4)-N(G4),0),IF(N(Vendor_Master!$B$9)&gt;N(G4),N(Vendor_Master!$B$9)-N(G4),0)),0)</f>
        <v>0</v>
      </c>
    </row>
    <row r="5" spans="1:12" x14ac:dyDescent="0.25">
      <c r="A5" t="s">
        <v>29</v>
      </c>
      <c r="B5" t="s">
        <v>5</v>
      </c>
      <c r="C5" t="str">
        <f>_xlfn.XLOOKUP(POLog[[#This Row],[Vendor ID]],VendorMaster[Vendor ID],VendorMaster[Vendor Name])</f>
        <v>Apex Components Pvt Ltd</v>
      </c>
      <c r="D5" t="str">
        <f>_xlfn.XLOOKUP(POLog[[#This Row],[Vendor ID]], VendorMaster[Vendor ID], VendorMaster[Supply Category])</f>
        <v>Raw Materials</v>
      </c>
      <c r="E5" s="2">
        <v>46200</v>
      </c>
      <c r="F5">
        <f>_xlfn.XLOOKUP(POLog[[#This Row],[Vendor ID]], VendorMaster[Vendor ID], VendorMaster[Standard Lead Time (Days)])</f>
        <v>7</v>
      </c>
      <c r="G5" s="2">
        <f t="shared" si="0"/>
        <v>46207</v>
      </c>
      <c r="H5" s="2">
        <v>46207</v>
      </c>
      <c r="I5" s="3">
        <v>45500</v>
      </c>
      <c r="J5" t="str">
        <f>IF(H5&lt;&gt;"",IF(H5&lt;=G5,"Delivered - On Time","Delivered - Late"),IF(Vendor_Master!#REF!&gt;G5,"Overdue","In Transit"))</f>
        <v>Delivered - On Time</v>
      </c>
      <c r="K5">
        <f>IFERROR(IF(H5&lt;&gt;"",IF(H5&gt;G5,N(H5)-N(G5),0),IF(N(Vendor_Master!$B$9)&gt;N(G5),N(Vendor_Master!$B$9)-N(G5),0)),0)</f>
        <v>0</v>
      </c>
    </row>
    <row r="6" spans="1:12" x14ac:dyDescent="0.25">
      <c r="A6" t="s">
        <v>30</v>
      </c>
      <c r="B6" t="s">
        <v>5</v>
      </c>
      <c r="C6" t="str">
        <f>_xlfn.XLOOKUP(POLog[[#This Row],[Vendor ID]],VendorMaster[Vendor ID],VendorMaster[Vendor Name])</f>
        <v>Apex Components Pvt Ltd</v>
      </c>
      <c r="D6" t="str">
        <f>_xlfn.XLOOKUP(POLog[[#This Row],[Vendor ID]], VendorMaster[Vendor ID], VendorMaster[Supply Category])</f>
        <v>Raw Materials</v>
      </c>
      <c r="E6" s="2">
        <v>46190</v>
      </c>
      <c r="F6">
        <f>_xlfn.XLOOKUP(POLog[[#This Row],[Vendor ID]], VendorMaster[Vendor ID], VendorMaster[Standard Lead Time (Days)])</f>
        <v>7</v>
      </c>
      <c r="G6" s="2">
        <f t="shared" si="0"/>
        <v>46197</v>
      </c>
      <c r="H6" s="2">
        <v>46200</v>
      </c>
      <c r="I6" s="3">
        <v>78000</v>
      </c>
      <c r="J6" t="str">
        <f>IF(H6&lt;&gt;"",IF(H6&lt;=G6,"Delivered - On Time","Delivered - Late"),IF(Vendor_Master!#REF!&gt;G6,"Overdue","In Transit"))</f>
        <v>Delivered - Late</v>
      </c>
      <c r="K6">
        <f>IFERROR(IF(H6&lt;&gt;"",IF(H6&gt;G6,N(H6)-N(G6),0),IF(N(Vendor_Master!$B$9)&gt;N(G6),N(Vendor_Master!$B$9)-N(G6),0)),0)</f>
        <v>3</v>
      </c>
    </row>
    <row r="7" spans="1:12" x14ac:dyDescent="0.25">
      <c r="A7" t="s">
        <v>31</v>
      </c>
      <c r="B7" t="s">
        <v>5</v>
      </c>
      <c r="C7" t="str">
        <f>_xlfn.XLOOKUP(POLog[[#This Row],[Vendor ID]],VendorMaster[Vendor ID],VendorMaster[Vendor Name])</f>
        <v>Apex Components Pvt Ltd</v>
      </c>
      <c r="D7" t="str">
        <f>_xlfn.XLOOKUP(POLog[[#This Row],[Vendor ID]], VendorMaster[Vendor ID], VendorMaster[Supply Category])</f>
        <v>Raw Materials</v>
      </c>
      <c r="E7" s="2">
        <v>46205</v>
      </c>
      <c r="F7">
        <f>_xlfn.XLOOKUP(POLog[[#This Row],[Vendor ID]], VendorMaster[Vendor ID], VendorMaster[Standard Lead Time (Days)])</f>
        <v>7</v>
      </c>
      <c r="G7" s="2">
        <f t="shared" si="0"/>
        <v>46212</v>
      </c>
      <c r="I7" s="3">
        <v>91000</v>
      </c>
      <c r="J7" t="e">
        <f>IF(H7&lt;&gt;"",IF(H7&lt;=G7,"Delivered - On Time","Delivered - Late"),IF(Vendor_Master!#REF!&gt;G7,"Overdue","In Transit"))</f>
        <v>#REF!</v>
      </c>
      <c r="K7">
        <f>IFERROR(IF(H7&lt;&gt;"",IF(H7&gt;G7,N(H7)-N(G7),0),IF(N(Vendor_Master!$B$9)&gt;N(G7),N(Vendor_Master!$B$9)-N(G7),0)),0)</f>
        <v>0</v>
      </c>
    </row>
    <row r="8" spans="1:12" x14ac:dyDescent="0.25">
      <c r="A8" t="s">
        <v>32</v>
      </c>
      <c r="B8" t="s">
        <v>8</v>
      </c>
      <c r="C8" t="str">
        <f>_xlfn.XLOOKUP(POLog[[#This Row],[Vendor ID]],VendorMaster[Vendor ID],VendorMaster[Vendor Name])</f>
        <v>Skyline Packaging Co</v>
      </c>
      <c r="D8" t="str">
        <f>_xlfn.XLOOKUP(POLog[[#This Row],[Vendor ID]], VendorMaster[Vendor ID], VendorMaster[Supply Category])</f>
        <v>Packaging</v>
      </c>
      <c r="E8" s="2">
        <v>46203</v>
      </c>
      <c r="F8">
        <f>_xlfn.XLOOKUP(POLog[[#This Row],[Vendor ID]], VendorMaster[Vendor ID], VendorMaster[Standard Lead Time (Days)])</f>
        <v>5</v>
      </c>
      <c r="G8" s="2">
        <f t="shared" si="0"/>
        <v>46208</v>
      </c>
      <c r="H8" s="2">
        <v>46207</v>
      </c>
      <c r="I8" s="3">
        <v>23000</v>
      </c>
      <c r="J8" t="str">
        <f>IF(H8&lt;&gt;"",IF(H8&lt;=G8,"Delivered - On Time","Delivered - Late"),IF(Vendor_Master!#REF!&gt;G8,"Overdue","In Transit"))</f>
        <v>Delivered - On Time</v>
      </c>
      <c r="K8">
        <f>IFERROR(IF(H8&lt;&gt;"",IF(H8&gt;G8,N(H8)-N(G8),0),IF(N(Vendor_Master!$B$9)&gt;N(G8),N(Vendor_Master!$B$9)-N(G8),0)),0)</f>
        <v>0</v>
      </c>
    </row>
    <row r="9" spans="1:12" x14ac:dyDescent="0.25">
      <c r="A9" t="s">
        <v>33</v>
      </c>
      <c r="B9" t="s">
        <v>8</v>
      </c>
      <c r="C9" t="str">
        <f>_xlfn.XLOOKUP(POLog[[#This Row],[Vendor ID]],VendorMaster[Vendor ID],VendorMaster[Vendor Name])</f>
        <v>Skyline Packaging Co</v>
      </c>
      <c r="D9" t="str">
        <f>_xlfn.XLOOKUP(POLog[[#This Row],[Vendor ID]], VendorMaster[Vendor ID], VendorMaster[Supply Category])</f>
        <v>Packaging</v>
      </c>
      <c r="E9" s="2">
        <v>46206</v>
      </c>
      <c r="F9">
        <f>_xlfn.XLOOKUP(POLog[[#This Row],[Vendor ID]], VendorMaster[Vendor ID], VendorMaster[Standard Lead Time (Days)])</f>
        <v>5</v>
      </c>
      <c r="G9" s="2">
        <f t="shared" si="0"/>
        <v>46211</v>
      </c>
      <c r="H9" s="2">
        <v>46211</v>
      </c>
      <c r="I9" s="3">
        <v>31500</v>
      </c>
      <c r="J9" t="str">
        <f>IF(H9&lt;&gt;"",IF(H9&lt;=G9,"Delivered - On Time","Delivered - Late"),IF(Vendor_Master!#REF!&gt;G9,"Overdue","In Transit"))</f>
        <v>Delivered - On Time</v>
      </c>
      <c r="K9">
        <f>IFERROR(IF(H9&lt;&gt;"",IF(H9&gt;G9,N(H9)-N(G9),0),IF(N(Vendor_Master!$B$9)&gt;N(G9),N(Vendor_Master!$B$9)-N(G9),0)),0)</f>
        <v>0</v>
      </c>
    </row>
    <row r="10" spans="1:12" x14ac:dyDescent="0.25">
      <c r="A10" t="s">
        <v>34</v>
      </c>
      <c r="B10" t="s">
        <v>8</v>
      </c>
      <c r="C10" t="str">
        <f>_xlfn.XLOOKUP(POLog[[#This Row],[Vendor ID]],VendorMaster[Vendor ID],VendorMaster[Vendor Name])</f>
        <v>Skyline Packaging Co</v>
      </c>
      <c r="D10" t="str">
        <f>_xlfn.XLOOKUP(POLog[[#This Row],[Vendor ID]], VendorMaster[Vendor ID], VendorMaster[Supply Category])</f>
        <v>Packaging</v>
      </c>
      <c r="E10" s="2">
        <v>46195</v>
      </c>
      <c r="F10">
        <f>_xlfn.XLOOKUP(POLog[[#This Row],[Vendor ID]], VendorMaster[Vendor ID], VendorMaster[Standard Lead Time (Days)])</f>
        <v>5</v>
      </c>
      <c r="G10" s="2">
        <f t="shared" si="0"/>
        <v>46200</v>
      </c>
      <c r="H10" s="2">
        <v>46203</v>
      </c>
      <c r="I10" s="3">
        <v>27800</v>
      </c>
      <c r="J10" t="str">
        <f>IF(H10&lt;&gt;"",IF(H10&lt;=G10,"Delivered - On Time","Delivered - Late"),IF(Vendor_Master!#REF!&gt;G10,"Overdue","In Transit"))</f>
        <v>Delivered - Late</v>
      </c>
      <c r="K10">
        <f>IFERROR(IF(H10&lt;&gt;"",IF(H10&gt;G10,N(H10)-N(G10),0),IF(N(Vendor_Master!$B$9)&gt;N(G10),N(Vendor_Master!$B$9)-N(G10),0)),0)</f>
        <v>3</v>
      </c>
    </row>
    <row r="11" spans="1:12" x14ac:dyDescent="0.25">
      <c r="A11" t="s">
        <v>35</v>
      </c>
      <c r="B11" t="s">
        <v>8</v>
      </c>
      <c r="C11" t="str">
        <f>_xlfn.XLOOKUP(POLog[[#This Row],[Vendor ID]],VendorMaster[Vendor ID],VendorMaster[Vendor Name])</f>
        <v>Skyline Packaging Co</v>
      </c>
      <c r="D11" t="str">
        <f>_xlfn.XLOOKUP(POLog[[#This Row],[Vendor ID]], VendorMaster[Vendor ID], VendorMaster[Supply Category])</f>
        <v>Packaging</v>
      </c>
      <c r="E11" s="2">
        <v>46213</v>
      </c>
      <c r="F11">
        <f>_xlfn.XLOOKUP(POLog[[#This Row],[Vendor ID]], VendorMaster[Vendor ID], VendorMaster[Standard Lead Time (Days)])</f>
        <v>5</v>
      </c>
      <c r="G11" s="2">
        <f t="shared" si="0"/>
        <v>46218</v>
      </c>
      <c r="I11" s="3">
        <v>19500</v>
      </c>
      <c r="J11" t="e">
        <f>IF(H11&lt;&gt;"",IF(H11&lt;=G11,"Delivered - On Time","Delivered - Late"),IF(Vendor_Master!#REF!&gt;G11,"Overdue","In Transit"))</f>
        <v>#REF!</v>
      </c>
      <c r="K11">
        <f>IFERROR(IF(H11&lt;&gt;"",IF(H11&gt;G11,N(H11)-N(G11),0),IF(N(Vendor_Master!$B$9)&gt;N(G11),N(Vendor_Master!$B$9)-N(G11),0)),0)</f>
        <v>0</v>
      </c>
    </row>
    <row r="12" spans="1:12" x14ac:dyDescent="0.25">
      <c r="A12" t="s">
        <v>36</v>
      </c>
      <c r="B12" t="s">
        <v>11</v>
      </c>
      <c r="C12" t="str">
        <f>_xlfn.XLOOKUP(POLog[[#This Row],[Vendor ID]],VendorMaster[Vendor ID],VendorMaster[Vendor Name])</f>
        <v>Bharat Steel Traders</v>
      </c>
      <c r="D12" t="str">
        <f>_xlfn.XLOOKUP(POLog[[#This Row],[Vendor ID]], VendorMaster[Vendor ID], VendorMaster[Supply Category])</f>
        <v>Raw Materials</v>
      </c>
      <c r="E12" s="2">
        <v>46185</v>
      </c>
      <c r="F12">
        <f>_xlfn.XLOOKUP(POLog[[#This Row],[Vendor ID]], VendorMaster[Vendor ID], VendorMaster[Standard Lead Time (Days)])</f>
        <v>10</v>
      </c>
      <c r="G12" s="2">
        <f t="shared" si="0"/>
        <v>46195</v>
      </c>
      <c r="H12" s="2">
        <v>46194</v>
      </c>
      <c r="I12" s="3">
        <v>134000</v>
      </c>
      <c r="J12" t="str">
        <f>IF(H12&lt;&gt;"",IF(H12&lt;=G12,"Delivered - On Time","Delivered - Late"),IF(Vendor_Master!#REF!&gt;G12,"Overdue","In Transit"))</f>
        <v>Delivered - On Time</v>
      </c>
      <c r="K12">
        <f>IFERROR(IF(H12&lt;&gt;"",IF(H12&gt;G12,N(H12)-N(G12),0),IF(N(Vendor_Master!$B$9)&gt;N(G12),N(Vendor_Master!$B$9)-N(G12),0)),0)</f>
        <v>0</v>
      </c>
    </row>
    <row r="13" spans="1:12" x14ac:dyDescent="0.25">
      <c r="A13" t="s">
        <v>37</v>
      </c>
      <c r="B13" t="s">
        <v>11</v>
      </c>
      <c r="C13" t="str">
        <f>_xlfn.XLOOKUP(POLog[[#This Row],[Vendor ID]],VendorMaster[Vendor ID],VendorMaster[Vendor Name])</f>
        <v>Bharat Steel Traders</v>
      </c>
      <c r="D13" t="str">
        <f>_xlfn.XLOOKUP(POLog[[#This Row],[Vendor ID]], VendorMaster[Vendor ID], VendorMaster[Supply Category])</f>
        <v>Raw Materials</v>
      </c>
      <c r="E13" s="2">
        <v>46190</v>
      </c>
      <c r="F13">
        <f>_xlfn.XLOOKUP(POLog[[#This Row],[Vendor ID]], VendorMaster[Vendor ID], VendorMaster[Standard Lead Time (Days)])</f>
        <v>10</v>
      </c>
      <c r="G13" s="2">
        <f t="shared" si="0"/>
        <v>46200</v>
      </c>
      <c r="H13" s="2">
        <v>46204</v>
      </c>
      <c r="I13" s="3">
        <v>98000</v>
      </c>
      <c r="J13" t="str">
        <f>IF(H13&lt;&gt;"",IF(H13&lt;=G13,"Delivered - On Time","Delivered - Late"),IF(Vendor_Master!#REF!&gt;G13,"Overdue","In Transit"))</f>
        <v>Delivered - Late</v>
      </c>
      <c r="K13">
        <f>IFERROR(IF(H13&lt;&gt;"",IF(H13&gt;G13,N(H13)-N(G13),0),IF(N(Vendor_Master!$B$9)&gt;N(G13),N(Vendor_Master!$B$9)-N(G13),0)),0)</f>
        <v>4</v>
      </c>
    </row>
    <row r="14" spans="1:12" x14ac:dyDescent="0.25">
      <c r="A14" t="s">
        <v>38</v>
      </c>
      <c r="B14" t="s">
        <v>11</v>
      </c>
      <c r="C14" t="str">
        <f>_xlfn.XLOOKUP(POLog[[#This Row],[Vendor ID]],VendorMaster[Vendor ID],VendorMaster[Vendor Name])</f>
        <v>Bharat Steel Traders</v>
      </c>
      <c r="D14" t="str">
        <f>_xlfn.XLOOKUP(POLog[[#This Row],[Vendor ID]], VendorMaster[Vendor ID], VendorMaster[Supply Category])</f>
        <v>Raw Materials</v>
      </c>
      <c r="E14" s="2">
        <v>46200</v>
      </c>
      <c r="F14">
        <f>_xlfn.XLOOKUP(POLog[[#This Row],[Vendor ID]], VendorMaster[Vendor ID], VendorMaster[Standard Lead Time (Days)])</f>
        <v>10</v>
      </c>
      <c r="G14" s="2">
        <f t="shared" si="0"/>
        <v>46210</v>
      </c>
      <c r="I14" s="3">
        <v>156000</v>
      </c>
      <c r="J14" t="e">
        <f>IF(H14&lt;&gt;"",IF(H14&lt;=G14,"Delivered - On Time","Delivered - Late"),IF(Vendor_Master!#REF!&gt;G14,"Overdue","In Transit"))</f>
        <v>#REF!</v>
      </c>
      <c r="K14">
        <f>IFERROR(IF(H14&lt;&gt;"",IF(H14&gt;G14,N(H14)-N(G14),0),IF(N(Vendor_Master!$B$9)&gt;N(G14),N(Vendor_Master!$B$9)-N(G14),0)),0)</f>
        <v>0</v>
      </c>
    </row>
    <row r="15" spans="1:12" x14ac:dyDescent="0.25">
      <c r="A15" t="s">
        <v>39</v>
      </c>
      <c r="B15" t="s">
        <v>13</v>
      </c>
      <c r="C15" t="str">
        <f>_xlfn.XLOOKUP(POLog[[#This Row],[Vendor ID]],VendorMaster[Vendor ID],VendorMaster[Vendor Name])</f>
        <v>Quickship Logistics Supplies</v>
      </c>
      <c r="D15" t="str">
        <f>_xlfn.XLOOKUP(POLog[[#This Row],[Vendor ID]], VendorMaster[Vendor ID], VendorMaster[Supply Category])</f>
        <v>Packaging</v>
      </c>
      <c r="E15" s="2">
        <v>46205</v>
      </c>
      <c r="F15">
        <f>_xlfn.XLOOKUP(POLog[[#This Row],[Vendor ID]], VendorMaster[Vendor ID], VendorMaster[Standard Lead Time (Days)])</f>
        <v>4</v>
      </c>
      <c r="G15" s="2">
        <f t="shared" si="0"/>
        <v>46209</v>
      </c>
      <c r="H15" s="2">
        <v>46208</v>
      </c>
      <c r="I15" s="3">
        <v>18500</v>
      </c>
      <c r="J15" t="str">
        <f>IF(H15&lt;&gt;"",IF(H15&lt;=G15,"Delivered - On Time","Delivered - Late"),IF(Vendor_Master!#REF!&gt;G15,"Overdue","In Transit"))</f>
        <v>Delivered - On Time</v>
      </c>
      <c r="K15">
        <f>IFERROR(IF(H15&lt;&gt;"",IF(H15&gt;G15,N(H15)-N(G15),0),IF(N(Vendor_Master!$B$9)&gt;N(G15),N(Vendor_Master!$B$9)-N(G15),0)),0)</f>
        <v>0</v>
      </c>
    </row>
    <row r="16" spans="1:12" x14ac:dyDescent="0.25">
      <c r="A16" t="s">
        <v>40</v>
      </c>
      <c r="B16" t="s">
        <v>13</v>
      </c>
      <c r="C16" t="str">
        <f>_xlfn.XLOOKUP(POLog[[#This Row],[Vendor ID]],VendorMaster[Vendor ID],VendorMaster[Vendor Name])</f>
        <v>Quickship Logistics Supplies</v>
      </c>
      <c r="D16" t="str">
        <f>_xlfn.XLOOKUP(POLog[[#This Row],[Vendor ID]], VendorMaster[Vendor ID], VendorMaster[Supply Category])</f>
        <v>Packaging</v>
      </c>
      <c r="E16" s="2">
        <v>46207</v>
      </c>
      <c r="F16">
        <f>_xlfn.XLOOKUP(POLog[[#This Row],[Vendor ID]], VendorMaster[Vendor ID], VendorMaster[Standard Lead Time (Days)])</f>
        <v>4</v>
      </c>
      <c r="G16" s="2">
        <f t="shared" si="0"/>
        <v>46211</v>
      </c>
      <c r="H16" s="2">
        <v>46211</v>
      </c>
      <c r="I16" s="3">
        <v>22000</v>
      </c>
      <c r="J16" t="str">
        <f>IF(H16&lt;&gt;"",IF(H16&lt;=G16,"Delivered - On Time","Delivered - Late"),IF(Vendor_Master!#REF!&gt;G16,"Overdue","In Transit"))</f>
        <v>Delivered - On Time</v>
      </c>
      <c r="K16">
        <f>IFERROR(IF(H16&lt;&gt;"",IF(H16&gt;G16,N(H16)-N(G16),0),IF(N(Vendor_Master!$B$9)&gt;N(G16),N(Vendor_Master!$B$9)-N(G16),0)),0)</f>
        <v>0</v>
      </c>
    </row>
    <row r="17" spans="1:11" x14ac:dyDescent="0.25">
      <c r="A17" t="s">
        <v>41</v>
      </c>
      <c r="B17" t="s">
        <v>13</v>
      </c>
      <c r="C17" t="str">
        <f>_xlfn.XLOOKUP(POLog[[#This Row],[Vendor ID]],VendorMaster[Vendor ID],VendorMaster[Vendor Name])</f>
        <v>Quickship Logistics Supplies</v>
      </c>
      <c r="D17" t="str">
        <f>_xlfn.XLOOKUP(POLog[[#This Row],[Vendor ID]], VendorMaster[Vendor ID], VendorMaster[Supply Category])</f>
        <v>Packaging</v>
      </c>
      <c r="E17" s="2">
        <v>46201</v>
      </c>
      <c r="F17">
        <f>_xlfn.XLOOKUP(POLog[[#This Row],[Vendor ID]], VendorMaster[Vendor ID], VendorMaster[Standard Lead Time (Days)])</f>
        <v>4</v>
      </c>
      <c r="G17" s="2">
        <f t="shared" si="0"/>
        <v>46205</v>
      </c>
      <c r="H17" s="2">
        <v>46208</v>
      </c>
      <c r="I17" s="3">
        <v>15900</v>
      </c>
      <c r="J17" t="str">
        <f>IF(H17&lt;&gt;"",IF(H17&lt;=G17,"Delivered - On Time","Delivered - Late"),IF(Vendor_Master!#REF!&gt;G17,"Overdue","In Transit"))</f>
        <v>Delivered - Late</v>
      </c>
      <c r="K17">
        <f>IFERROR(IF(H17&lt;&gt;"",IF(H17&gt;G17,N(H17)-N(G17),0),IF(N(Vendor_Master!$B$9)&gt;N(G17),N(Vendor_Master!$B$9)-N(G17),0)),0)</f>
        <v>3</v>
      </c>
    </row>
    <row r="18" spans="1:11" x14ac:dyDescent="0.25">
      <c r="A18" t="s">
        <v>42</v>
      </c>
      <c r="B18" t="s">
        <v>13</v>
      </c>
      <c r="C18" t="str">
        <f>_xlfn.XLOOKUP(POLog[[#This Row],[Vendor ID]],VendorMaster[Vendor ID],VendorMaster[Vendor Name])</f>
        <v>Quickship Logistics Supplies</v>
      </c>
      <c r="D18" t="str">
        <f>_xlfn.XLOOKUP(POLog[[#This Row],[Vendor ID]], VendorMaster[Vendor ID], VendorMaster[Supply Category])</f>
        <v>Packaging</v>
      </c>
      <c r="E18" s="2">
        <v>46212</v>
      </c>
      <c r="F18">
        <f>_xlfn.XLOOKUP(POLog[[#This Row],[Vendor ID]], VendorMaster[Vendor ID], VendorMaster[Standard Lead Time (Days)])</f>
        <v>4</v>
      </c>
      <c r="G18" s="2">
        <f t="shared" si="0"/>
        <v>46216</v>
      </c>
      <c r="I18" s="3">
        <v>26400</v>
      </c>
      <c r="J18" t="e">
        <f>IF(H18&lt;&gt;"",IF(H18&lt;=G18,"Delivered - On Time","Delivered - Late"),IF(Vendor_Master!#REF!&gt;G18,"Overdue","In Transit"))</f>
        <v>#REF!</v>
      </c>
      <c r="K18">
        <f>IFERROR(IF(H18&lt;&gt;"",IF(H18&gt;G18,N(H18)-N(G18),0),IF(N(Vendor_Master!$B$9)&gt;N(G18),N(Vendor_Master!$B$9)-N(G18),0)),0)</f>
        <v>0</v>
      </c>
    </row>
    <row r="19" spans="1:11" x14ac:dyDescent="0.25">
      <c r="A19" t="s">
        <v>43</v>
      </c>
      <c r="B19" t="s">
        <v>15</v>
      </c>
      <c r="C19" t="str">
        <f>_xlfn.XLOOKUP(POLog[[#This Row],[Vendor ID]],VendorMaster[Vendor ID],VendorMaster[Vendor Name])</f>
        <v>Prime Electronics Distributors</v>
      </c>
      <c r="D19" t="str">
        <f>_xlfn.XLOOKUP(POLog[[#This Row],[Vendor ID]], VendorMaster[Vendor ID], VendorMaster[Supply Category])</f>
        <v>Components</v>
      </c>
      <c r="E19" s="2">
        <v>46195</v>
      </c>
      <c r="F19">
        <f>_xlfn.XLOOKUP(POLog[[#This Row],[Vendor ID]], VendorMaster[Vendor ID], VendorMaster[Standard Lead Time (Days)])</f>
        <v>8</v>
      </c>
      <c r="G19" s="2">
        <f t="shared" si="0"/>
        <v>46203</v>
      </c>
      <c r="H19" s="2">
        <v>46202</v>
      </c>
      <c r="I19" s="3">
        <v>112000</v>
      </c>
      <c r="J19" t="str">
        <f>IF(H19&lt;&gt;"",IF(H19&lt;=G19,"Delivered - On Time","Delivered - Late"),IF(Vendor_Master!#REF!&gt;G19,"Overdue","In Transit"))</f>
        <v>Delivered - On Time</v>
      </c>
      <c r="K19">
        <f>IFERROR(IF(H19&lt;&gt;"",IF(H19&gt;G19,N(H19)-N(G19),0),IF(N(Vendor_Master!$B$9)&gt;N(G19),N(Vendor_Master!$B$9)-N(G19),0)),0)</f>
        <v>0</v>
      </c>
    </row>
    <row r="20" spans="1:11" x14ac:dyDescent="0.25">
      <c r="A20" t="s">
        <v>44</v>
      </c>
      <c r="B20" t="s">
        <v>15</v>
      </c>
      <c r="C20" t="str">
        <f>_xlfn.XLOOKUP(POLog[[#This Row],[Vendor ID]],VendorMaster[Vendor ID],VendorMaster[Vendor Name])</f>
        <v>Prime Electronics Distributors</v>
      </c>
      <c r="D20" t="str">
        <f>_xlfn.XLOOKUP(POLog[[#This Row],[Vendor ID]], VendorMaster[Vendor ID], VendorMaster[Supply Category])</f>
        <v>Components</v>
      </c>
      <c r="E20" s="2">
        <v>46197</v>
      </c>
      <c r="F20">
        <f>_xlfn.XLOOKUP(POLog[[#This Row],[Vendor ID]], VendorMaster[Vendor ID], VendorMaster[Standard Lead Time (Days)])</f>
        <v>8</v>
      </c>
      <c r="G20" s="2">
        <f t="shared" si="0"/>
        <v>46205</v>
      </c>
      <c r="H20" s="2">
        <v>46206</v>
      </c>
      <c r="I20" s="3">
        <v>87500</v>
      </c>
      <c r="J20" t="str">
        <f>IF(H20&lt;&gt;"",IF(H20&lt;=G20,"Delivered - On Time","Delivered - Late"),IF(Vendor_Master!#REF!&gt;G20,"Overdue","In Transit"))</f>
        <v>Delivered - Late</v>
      </c>
      <c r="K20">
        <f>IFERROR(IF(H20&lt;&gt;"",IF(H20&gt;G20,N(H20)-N(G20),0),IF(N(Vendor_Master!$B$9)&gt;N(G20),N(Vendor_Master!$B$9)-N(G20),0)),0)</f>
        <v>1</v>
      </c>
    </row>
    <row r="21" spans="1:11" x14ac:dyDescent="0.25">
      <c r="A21" t="s">
        <v>45</v>
      </c>
      <c r="B21" t="s">
        <v>15</v>
      </c>
      <c r="C21" t="str">
        <f>_xlfn.XLOOKUP(POLog[[#This Row],[Vendor ID]],VendorMaster[Vendor ID],VendorMaster[Vendor Name])</f>
        <v>Prime Electronics Distributors</v>
      </c>
      <c r="D21" t="str">
        <f>_xlfn.XLOOKUP(POLog[[#This Row],[Vendor ID]], VendorMaster[Vendor ID], VendorMaster[Supply Category])</f>
        <v>Components</v>
      </c>
      <c r="E21" s="2">
        <v>46200</v>
      </c>
      <c r="F21">
        <f>_xlfn.XLOOKUP(POLog[[#This Row],[Vendor ID]], VendorMaster[Vendor ID], VendorMaster[Standard Lead Time (Days)])</f>
        <v>8</v>
      </c>
      <c r="G21" s="2">
        <f t="shared" si="0"/>
        <v>46208</v>
      </c>
      <c r="I21" s="3">
        <v>143000</v>
      </c>
      <c r="J21" t="e">
        <f>IF(H21&lt;&gt;"",IF(H21&lt;=G21,"Delivered - On Time","Delivered - Late"),IF(Vendor_Master!#REF!&gt;G21,"Overdue","In Transit"))</f>
        <v>#REF!</v>
      </c>
      <c r="K21">
        <f>IFERROR(IF(H21&lt;&gt;"",IF(H21&gt;G21,N(H21)-N(G21),0),IF(N(Vendor_Master!$B$9)&gt;N(G21),N(Vendor_Master!$B$9)-N(G21),0)),0)</f>
        <v>0</v>
      </c>
    </row>
    <row r="22" spans="1:11" x14ac:dyDescent="0.25">
      <c r="A22" t="s">
        <v>46</v>
      </c>
      <c r="B22" t="s">
        <v>15</v>
      </c>
      <c r="C22" t="str">
        <f>_xlfn.XLOOKUP(POLog[[#This Row],[Vendor ID]],VendorMaster[Vendor ID],VendorMaster[Vendor Name])</f>
        <v>Prime Electronics Distributors</v>
      </c>
      <c r="D22" t="str">
        <f>_xlfn.XLOOKUP(POLog[[#This Row],[Vendor ID]], VendorMaster[Vendor ID], VendorMaster[Supply Category])</f>
        <v>Components</v>
      </c>
      <c r="E22" s="2">
        <v>46203</v>
      </c>
      <c r="F22">
        <f>_xlfn.XLOOKUP(POLog[[#This Row],[Vendor ID]], VendorMaster[Vendor ID], VendorMaster[Standard Lead Time (Days)])</f>
        <v>8</v>
      </c>
      <c r="G22" s="2">
        <f t="shared" si="0"/>
        <v>46211</v>
      </c>
      <c r="I22" s="3">
        <v>99000</v>
      </c>
      <c r="J22" t="e">
        <f>IF(H22&lt;&gt;"",IF(H22&lt;=G22,"Delivered - On Time","Delivered - Late"),IF(Vendor_Master!#REF!&gt;G22,"Overdue","In Transit"))</f>
        <v>#REF!</v>
      </c>
      <c r="K22">
        <f>IFERROR(IF(H22&lt;&gt;"",IF(H22&gt;G22,N(H22)-N(G22),0),IF(N(Vendor_Master!$B$9)&gt;N(G22),N(Vendor_Master!$B$9)-N(G22),0)),0)</f>
        <v>0</v>
      </c>
    </row>
    <row r="23" spans="1:11" x14ac:dyDescent="0.25">
      <c r="A23" t="s">
        <v>47</v>
      </c>
      <c r="B23" t="s">
        <v>18</v>
      </c>
      <c r="C23" t="str">
        <f>_xlfn.XLOOKUP(POLog[[#This Row],[Vendor ID]],VendorMaster[Vendor ID],VendorMaster[Vendor Name])</f>
        <v>Metro Office Supplies</v>
      </c>
      <c r="D23" t="str">
        <f>_xlfn.XLOOKUP(POLog[[#This Row],[Vendor ID]], VendorMaster[Vendor ID], VendorMaster[Supply Category])</f>
        <v>Office/Consumables</v>
      </c>
      <c r="E23" s="2">
        <v>46207</v>
      </c>
      <c r="F23">
        <f>_xlfn.XLOOKUP(POLog[[#This Row],[Vendor ID]], VendorMaster[Vendor ID], VendorMaster[Standard Lead Time (Days)])</f>
        <v>3</v>
      </c>
      <c r="G23" s="2">
        <f t="shared" si="0"/>
        <v>46210</v>
      </c>
      <c r="H23" s="2">
        <v>46209</v>
      </c>
      <c r="I23" s="3">
        <v>8200</v>
      </c>
      <c r="J23" t="str">
        <f>IF(H23&lt;&gt;"",IF(H23&lt;=G23,"Delivered - On Time","Delivered - Late"),IF(Vendor_Master!#REF!&gt;G23,"Overdue","In Transit"))</f>
        <v>Delivered - On Time</v>
      </c>
      <c r="K23">
        <f>IFERROR(IF(H23&lt;&gt;"",IF(H23&gt;G23,N(H23)-N(G23),0),IF(N(Vendor_Master!$B$9)&gt;N(G23),N(Vendor_Master!$B$9)-N(G23),0)),0)</f>
        <v>0</v>
      </c>
    </row>
    <row r="24" spans="1:11" x14ac:dyDescent="0.25">
      <c r="A24" t="s">
        <v>48</v>
      </c>
      <c r="B24" t="s">
        <v>18</v>
      </c>
      <c r="C24" t="str">
        <f>_xlfn.XLOOKUP(POLog[[#This Row],[Vendor ID]],VendorMaster[Vendor ID],VendorMaster[Vendor Name])</f>
        <v>Metro Office Supplies</v>
      </c>
      <c r="D24" t="str">
        <f>_xlfn.XLOOKUP(POLog[[#This Row],[Vendor ID]], VendorMaster[Vendor ID], VendorMaster[Supply Category])</f>
        <v>Office/Consumables</v>
      </c>
      <c r="E24" s="2">
        <v>46209</v>
      </c>
      <c r="F24">
        <f>_xlfn.XLOOKUP(POLog[[#This Row],[Vendor ID]], VendorMaster[Vendor ID], VendorMaster[Standard Lead Time (Days)])</f>
        <v>3</v>
      </c>
      <c r="G24" s="2">
        <f t="shared" si="0"/>
        <v>46212</v>
      </c>
      <c r="H24" s="2">
        <v>46212</v>
      </c>
      <c r="I24" s="3">
        <v>9700</v>
      </c>
      <c r="J24" t="str">
        <f>IF(H24&lt;&gt;"",IF(H24&lt;=G24,"Delivered - On Time","Delivered - Late"),IF(Vendor_Master!#REF!&gt;G24,"Overdue","In Transit"))</f>
        <v>Delivered - On Time</v>
      </c>
      <c r="K24">
        <f>IFERROR(IF(H24&lt;&gt;"",IF(H24&gt;G24,N(H24)-N(G24),0),IF(N(Vendor_Master!$B$9)&gt;N(G24),N(Vendor_Master!$B$9)-N(G24),0)),0)</f>
        <v>0</v>
      </c>
    </row>
    <row r="25" spans="1:11" x14ac:dyDescent="0.25">
      <c r="A25" t="s">
        <v>49</v>
      </c>
      <c r="B25" t="s">
        <v>18</v>
      </c>
      <c r="C25" t="str">
        <f>_xlfn.XLOOKUP(POLog[[#This Row],[Vendor ID]],VendorMaster[Vendor ID],VendorMaster[Vendor Name])</f>
        <v>Metro Office Supplies</v>
      </c>
      <c r="D25" t="str">
        <f>_xlfn.XLOOKUP(POLog[[#This Row],[Vendor ID]], VendorMaster[Vendor ID], VendorMaster[Supply Category])</f>
        <v>Office/Consumables</v>
      </c>
      <c r="E25" s="2">
        <v>46211</v>
      </c>
      <c r="F25">
        <f>_xlfn.XLOOKUP(POLog[[#This Row],[Vendor ID]], VendorMaster[Vendor ID], VendorMaster[Standard Lead Time (Days)])</f>
        <v>3</v>
      </c>
      <c r="G25" s="2">
        <f t="shared" si="0"/>
        <v>46214</v>
      </c>
      <c r="H25" s="2">
        <v>46214</v>
      </c>
      <c r="I25" s="3">
        <v>6400</v>
      </c>
      <c r="J25" t="str">
        <f>IF(H25&lt;&gt;"",IF(H25&lt;=G25,"Delivered - On Time","Delivered - Late"),IF(Vendor_Master!#REF!&gt;G25,"Overdue","In Transit"))</f>
        <v>Delivered - On Time</v>
      </c>
      <c r="K25">
        <f>IFERROR(IF(H25&lt;&gt;"",IF(H25&gt;G25,N(H25)-N(G25),0),IF(N(Vendor_Master!$B$9)&gt;N(G25),N(Vendor_Master!$B$9)-N(G25),0)),0)</f>
        <v>0</v>
      </c>
    </row>
  </sheetData>
  <mergeCells count="1">
    <mergeCell ref="A1:K2"/>
  </mergeCells>
  <conditionalFormatting sqref="J4:J25">
    <cfRule type="cellIs" dxfId="7" priority="1" operator="equal">
      <formula>"Delivered - On Time"</formula>
    </cfRule>
    <cfRule type="cellIs" dxfId="6" priority="2" operator="equal">
      <formula>"In Transit"</formula>
    </cfRule>
    <cfRule type="cellIs" dxfId="5" priority="3" operator="equal">
      <formula>"Delivered - Late"</formula>
    </cfRule>
    <cfRule type="cellIs" dxfId="4" priority="4" operator="equal">
      <formula>"Overdue"</formula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errorTitle="Invalid Vendor" error="Pick a valid Vendor ID from Vendor_Master" xr:uid="{00000000-0002-0000-0100-000000000000}">
          <x14:formula1>
            <xm:f>Vendor_Master!$A$4:$A$9</xm:f>
          </x14:formula1>
          <xm:sqref>B4:B45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"/>
  <sheetViews>
    <sheetView workbookViewId="0">
      <selection activeCell="F19" sqref="F19"/>
    </sheetView>
  </sheetViews>
  <sheetFormatPr defaultRowHeight="15" x14ac:dyDescent="0.25"/>
  <cols>
    <col min="1" max="1" width="11" customWidth="1"/>
    <col min="2" max="2" width="26" customWidth="1"/>
    <col min="3" max="3" width="13.42578125" customWidth="1"/>
    <col min="4" max="4" width="11" customWidth="1"/>
    <col min="5" max="5" width="15" customWidth="1"/>
    <col min="6" max="6" width="13" customWidth="1"/>
    <col min="7" max="7" width="22" customWidth="1"/>
    <col min="8" max="8" width="17" customWidth="1"/>
    <col min="9" max="9" width="22" customWidth="1"/>
  </cols>
  <sheetData>
    <row r="1" spans="1:9" ht="18" customHeight="1" x14ac:dyDescent="0.25">
      <c r="A1" s="7" t="s">
        <v>50</v>
      </c>
      <c r="B1" s="7"/>
      <c r="C1" s="7"/>
      <c r="D1" s="7"/>
      <c r="E1" s="7"/>
      <c r="F1" s="7"/>
      <c r="G1" s="7"/>
      <c r="H1" s="7"/>
      <c r="I1" s="7"/>
    </row>
    <row r="2" spans="1:9" x14ac:dyDescent="0.25">
      <c r="A2" s="7"/>
      <c r="B2" s="7"/>
      <c r="C2" s="7"/>
      <c r="D2" s="7"/>
      <c r="E2" s="7"/>
      <c r="F2" s="7"/>
      <c r="G2" s="7"/>
      <c r="H2" s="7"/>
      <c r="I2" s="7"/>
    </row>
    <row r="3" spans="1:9" ht="30" x14ac:dyDescent="0.25">
      <c r="A3" s="1" t="s">
        <v>1</v>
      </c>
      <c r="B3" s="1" t="s">
        <v>2</v>
      </c>
      <c r="C3" s="1" t="s">
        <v>51</v>
      </c>
      <c r="D3" s="1" t="s">
        <v>52</v>
      </c>
      <c r="E3" s="1" t="s">
        <v>53</v>
      </c>
      <c r="F3" s="1" t="s">
        <v>54</v>
      </c>
      <c r="G3" s="1" t="s">
        <v>55</v>
      </c>
      <c r="H3" s="1" t="s">
        <v>56</v>
      </c>
      <c r="I3" s="1" t="s">
        <v>57</v>
      </c>
    </row>
    <row r="4" spans="1:9" x14ac:dyDescent="0.25">
      <c r="A4" t="s">
        <v>5</v>
      </c>
      <c r="B4" t="str">
        <f>_xlfn.XLOOKUP(VendorPerformance[[#This Row],[Vendor ID]], VendorMaster[Vendor ID], VendorMaster[Vendor Name])</f>
        <v>Apex Components Pvt Ltd</v>
      </c>
      <c r="C4">
        <f>COUNTIF(PO_Log!$B$4:$B$25,A4)</f>
        <v>4</v>
      </c>
      <c r="D4">
        <f>COUNTIFS(PO_Log!$B$4:$B$25,A4,PO_Log!$J$4:$J$25,"Delivered - On Time")+COUNTIFS(PO_Log!$B$4:$B$25,A4,PO_Log!$J$4:$J$25,"Delivered - Late")</f>
        <v>3</v>
      </c>
      <c r="E4">
        <f>COUNTIFS(PO_Log!$B$4:$B$25,A4,PO_Log!$J$4:$J$25,"Delivered - On Time")</f>
        <v>2</v>
      </c>
      <c r="F4" s="4">
        <f t="shared" ref="F4:F9" si="0">IF(D4=0,0,E4/D4)</f>
        <v>0.66666666666666663</v>
      </c>
      <c r="G4">
        <f>COUNTIFS(PO_Log!$B$4:$B$25,A4,PO_Log!$J$4:$J$25,"Overdue")+COUNTIFS(PO_Log!$B$4:$B$25,A4,PO_Log!$J$4:$J$25,"In Transit")</f>
        <v>0</v>
      </c>
      <c r="H4" s="3">
        <f>SUMIF(PO_Log!$B$4:$B$25,A4,PO_Log!$I$4:$I$25)</f>
        <v>276500</v>
      </c>
      <c r="I4" s="5">
        <f>IFERROR(AVERAGEIFS(PO_Log!$K$4:$K$25,PO_Log!$B$4:$B$25,A4,PO_Log!$J$4:$J$25,"Delivered - Late"),0)</f>
        <v>3</v>
      </c>
    </row>
    <row r="5" spans="1:9" x14ac:dyDescent="0.25">
      <c r="A5" t="s">
        <v>8</v>
      </c>
      <c r="B5" t="str">
        <f>_xlfn.XLOOKUP(VendorPerformance[[#This Row],[Vendor ID]], VendorMaster[Vendor ID], VendorMaster[Vendor Name])</f>
        <v>Skyline Packaging Co</v>
      </c>
      <c r="C5">
        <f>COUNTIF(PO_Log!$B$4:$B$25,A5)</f>
        <v>4</v>
      </c>
      <c r="D5">
        <f>COUNTIFS(PO_Log!$B$4:$B$25,A5,PO_Log!$J$4:$J$25,"Delivered - On Time")+COUNTIFS(PO_Log!$B$4:$B$25,A5,PO_Log!$J$4:$J$25,"Delivered - Late")</f>
        <v>3</v>
      </c>
      <c r="E5">
        <f>COUNTIFS(PO_Log!$B$4:$B$25,A5,PO_Log!$J$4:$J$25,"Delivered - On Time")</f>
        <v>2</v>
      </c>
      <c r="F5" s="4">
        <f t="shared" si="0"/>
        <v>0.66666666666666663</v>
      </c>
      <c r="G5">
        <f>COUNTIFS(PO_Log!$B$4:$B$25,A5,PO_Log!$J$4:$J$25,"Overdue")+COUNTIFS(PO_Log!$B$4:$B$25,A5,PO_Log!$J$4:$J$25,"In Transit")</f>
        <v>0</v>
      </c>
      <c r="H5" s="3">
        <f>SUMIF(PO_Log!$B$4:$B$25,A5,PO_Log!$I$4:$I$25)</f>
        <v>101800</v>
      </c>
      <c r="I5" s="5">
        <f>IFERROR(AVERAGEIFS(PO_Log!$K$4:$K$25,PO_Log!$B$4:$B$25,A5,PO_Log!$J$4:$J$25,"Delivered - Late"),0)</f>
        <v>3</v>
      </c>
    </row>
    <row r="6" spans="1:9" x14ac:dyDescent="0.25">
      <c r="A6" t="s">
        <v>11</v>
      </c>
      <c r="B6" t="str">
        <f>_xlfn.XLOOKUP(VendorPerformance[[#This Row],[Vendor ID]], VendorMaster[Vendor ID], VendorMaster[Vendor Name])</f>
        <v>Bharat Steel Traders</v>
      </c>
      <c r="C6">
        <f>COUNTIF(PO_Log!$B$4:$B$25,A6)</f>
        <v>3</v>
      </c>
      <c r="D6">
        <f>COUNTIFS(PO_Log!$B$4:$B$25,A6,PO_Log!$J$4:$J$25,"Delivered - On Time")+COUNTIFS(PO_Log!$B$4:$B$25,A6,PO_Log!$J$4:$J$25,"Delivered - Late")</f>
        <v>2</v>
      </c>
      <c r="E6">
        <f>COUNTIFS(PO_Log!$B$4:$B$25,A6,PO_Log!$J$4:$J$25,"Delivered - On Time")</f>
        <v>1</v>
      </c>
      <c r="F6" s="4">
        <f t="shared" si="0"/>
        <v>0.5</v>
      </c>
      <c r="G6">
        <f>COUNTIFS(PO_Log!$B$4:$B$25,A6,PO_Log!$J$4:$J$25,"Overdue")+COUNTIFS(PO_Log!$B$4:$B$25,A6,PO_Log!$J$4:$J$25,"In Transit")</f>
        <v>0</v>
      </c>
      <c r="H6" s="3">
        <f>SUMIF(PO_Log!$B$4:$B$25,A6,PO_Log!$I$4:$I$25)</f>
        <v>388000</v>
      </c>
      <c r="I6" s="5">
        <f>IFERROR(AVERAGEIFS(PO_Log!$K$4:$K$25,PO_Log!$B$4:$B$25,A6,PO_Log!$J$4:$J$25,"Delivered - Late"),0)</f>
        <v>4</v>
      </c>
    </row>
    <row r="7" spans="1:9" x14ac:dyDescent="0.25">
      <c r="A7" t="s">
        <v>13</v>
      </c>
      <c r="B7" t="str">
        <f>_xlfn.XLOOKUP(VendorPerformance[[#This Row],[Vendor ID]], VendorMaster[Vendor ID], VendorMaster[Vendor Name])</f>
        <v>Quickship Logistics Supplies</v>
      </c>
      <c r="C7">
        <f>COUNTIF(PO_Log!$B$4:$B$25,A7)</f>
        <v>4</v>
      </c>
      <c r="D7">
        <f>COUNTIFS(PO_Log!$B$4:$B$25,A7,PO_Log!$J$4:$J$25,"Delivered - On Time")+COUNTIFS(PO_Log!$B$4:$B$25,A7,PO_Log!$J$4:$J$25,"Delivered - Late")</f>
        <v>3</v>
      </c>
      <c r="E7">
        <f>COUNTIFS(PO_Log!$B$4:$B$25,A7,PO_Log!$J$4:$J$25,"Delivered - On Time")</f>
        <v>2</v>
      </c>
      <c r="F7" s="4">
        <f t="shared" si="0"/>
        <v>0.66666666666666663</v>
      </c>
      <c r="G7">
        <f>COUNTIFS(PO_Log!$B$4:$B$25,A7,PO_Log!$J$4:$J$25,"Overdue")+COUNTIFS(PO_Log!$B$4:$B$25,A7,PO_Log!$J$4:$J$25,"In Transit")</f>
        <v>0</v>
      </c>
      <c r="H7" s="3">
        <f>SUMIF(PO_Log!$B$4:$B$25,A7,PO_Log!$I$4:$I$25)</f>
        <v>82800</v>
      </c>
      <c r="I7" s="5">
        <f>IFERROR(AVERAGEIFS(PO_Log!$K$4:$K$25,PO_Log!$B$4:$B$25,A7,PO_Log!$J$4:$J$25,"Delivered - Late"),0)</f>
        <v>3</v>
      </c>
    </row>
    <row r="8" spans="1:9" x14ac:dyDescent="0.25">
      <c r="A8" t="s">
        <v>15</v>
      </c>
      <c r="B8" t="str">
        <f>_xlfn.XLOOKUP(VendorPerformance[[#This Row],[Vendor ID]], VendorMaster[Vendor ID], VendorMaster[Vendor Name])</f>
        <v>Prime Electronics Distributors</v>
      </c>
      <c r="C8">
        <f>COUNTIF(PO_Log!$B$4:$B$25,A8)</f>
        <v>4</v>
      </c>
      <c r="D8">
        <f>COUNTIFS(PO_Log!$B$4:$B$25,A8,PO_Log!$J$4:$J$25,"Delivered - On Time")+COUNTIFS(PO_Log!$B$4:$B$25,A8,PO_Log!$J$4:$J$25,"Delivered - Late")</f>
        <v>2</v>
      </c>
      <c r="E8">
        <f>COUNTIFS(PO_Log!$B$4:$B$25,A8,PO_Log!$J$4:$J$25,"Delivered - On Time")</f>
        <v>1</v>
      </c>
      <c r="F8" s="4">
        <f t="shared" si="0"/>
        <v>0.5</v>
      </c>
      <c r="G8">
        <f>COUNTIFS(PO_Log!$B$4:$B$25,A8,PO_Log!$J$4:$J$25,"Overdue")+COUNTIFS(PO_Log!$B$4:$B$25,A8,PO_Log!$J$4:$J$25,"In Transit")</f>
        <v>0</v>
      </c>
      <c r="H8" s="3">
        <f>SUMIF(PO_Log!$B$4:$B$25,A8,PO_Log!$I$4:$I$25)</f>
        <v>441500</v>
      </c>
      <c r="I8" s="5">
        <f>IFERROR(AVERAGEIFS(PO_Log!$K$4:$K$25,PO_Log!$B$4:$B$25,A8,PO_Log!$J$4:$J$25,"Delivered - Late"),0)</f>
        <v>1</v>
      </c>
    </row>
    <row r="9" spans="1:9" x14ac:dyDescent="0.25">
      <c r="A9" t="s">
        <v>18</v>
      </c>
      <c r="B9" t="str">
        <f>_xlfn.XLOOKUP(VendorPerformance[[#This Row],[Vendor ID]], VendorMaster[Vendor ID], VendorMaster[Vendor Name])</f>
        <v>Metro Office Supplies</v>
      </c>
      <c r="C9">
        <f>COUNTIF(PO_Log!$B$4:$B$25,A9)</f>
        <v>3</v>
      </c>
      <c r="D9">
        <f>COUNTIFS(PO_Log!$B$4:$B$25,A9,PO_Log!$J$4:$J$25,"Delivered - On Time")+COUNTIFS(PO_Log!$B$4:$B$25,A9,PO_Log!$J$4:$J$25,"Delivered - Late")</f>
        <v>3</v>
      </c>
      <c r="E9">
        <f>COUNTIFS(PO_Log!$B$4:$B$25,A9,PO_Log!$J$4:$J$25,"Delivered - On Time")</f>
        <v>3</v>
      </c>
      <c r="F9" s="4">
        <f t="shared" si="0"/>
        <v>1</v>
      </c>
      <c r="G9">
        <f>COUNTIFS(PO_Log!$B$4:$B$25,A9,PO_Log!$J$4:$J$25,"Overdue")+COUNTIFS(PO_Log!$B$4:$B$25,A9,PO_Log!$J$4:$J$25,"In Transit")</f>
        <v>0</v>
      </c>
      <c r="H9" s="3">
        <f>SUMIF(PO_Log!$B$4:$B$25,A9,PO_Log!$I$4:$I$25)</f>
        <v>24300</v>
      </c>
      <c r="I9" s="5">
        <f>IFERROR(AVERAGEIFS(PO_Log!$K$4:$K$25,PO_Log!$B$4:$B$25,A9,PO_Log!$J$4:$J$25,"Delivered - Late"),0)</f>
        <v>0</v>
      </c>
    </row>
    <row r="12" spans="1:9" ht="15.75" x14ac:dyDescent="0.25">
      <c r="A12" s="9" t="s">
        <v>58</v>
      </c>
      <c r="B12" s="10"/>
      <c r="C12" s="10"/>
    </row>
    <row r="13" spans="1:9" x14ac:dyDescent="0.25">
      <c r="A13" s="11" t="s">
        <v>59</v>
      </c>
      <c r="B13" s="11"/>
      <c r="C13" s="12">
        <f>SUM(C4:C9)</f>
        <v>22</v>
      </c>
    </row>
    <row r="14" spans="1:9" x14ac:dyDescent="0.25">
      <c r="A14" s="11" t="s">
        <v>60</v>
      </c>
      <c r="B14" s="11"/>
      <c r="C14" s="12">
        <f>SUM(D4:D9)</f>
        <v>16</v>
      </c>
    </row>
    <row r="15" spans="1:9" x14ac:dyDescent="0.25">
      <c r="A15" s="11" t="s">
        <v>61</v>
      </c>
      <c r="B15" s="11"/>
      <c r="C15" s="13">
        <f>SUM(E4:E9)/SUM(D4:D9)</f>
        <v>0.6875</v>
      </c>
    </row>
    <row r="16" spans="1:9" x14ac:dyDescent="0.25">
      <c r="A16" s="11" t="s">
        <v>62</v>
      </c>
      <c r="B16" s="11"/>
      <c r="C16" s="12">
        <f>COUNTIF(PO_Log!$J$4:$J$25,"Overdue")</f>
        <v>0</v>
      </c>
    </row>
    <row r="17" spans="1:3" x14ac:dyDescent="0.25">
      <c r="A17" s="11" t="s">
        <v>56</v>
      </c>
      <c r="B17" s="11"/>
      <c r="C17" s="14">
        <f>SUM(H4:H9)</f>
        <v>1314900</v>
      </c>
    </row>
  </sheetData>
  <mergeCells count="7">
    <mergeCell ref="A15:B15"/>
    <mergeCell ref="A16:B16"/>
    <mergeCell ref="A17:B17"/>
    <mergeCell ref="A12:C12"/>
    <mergeCell ref="A1:I2"/>
    <mergeCell ref="A13:B13"/>
    <mergeCell ref="A14:B14"/>
  </mergeCells>
  <conditionalFormatting sqref="F4:F9">
    <cfRule type="cellIs" dxfId="3" priority="1" operator="greaterThanOrEqual">
      <formula>0.8</formula>
    </cfRule>
    <cfRule type="cellIs" dxfId="2" priority="2" operator="between">
      <formula>0.5</formula>
      <formula>0.8</formula>
    </cfRule>
    <cfRule type="cellIs" dxfId="1" priority="3" operator="lessThan">
      <formula>0.5</formula>
    </cfRule>
  </conditionalFormatting>
  <conditionalFormatting sqref="G4:G9">
    <cfRule type="cellIs" dxfId="0" priority="4" operator="greaterThan">
      <formula>1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Vendor_Master</vt:lpstr>
      <vt:lpstr>PO_Log</vt:lpstr>
      <vt:lpstr>Vendor_Performance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Sonu kumar</cp:lastModifiedBy>
  <dcterms:created xsi:type="dcterms:W3CDTF">2026-07-12T10:06:47Z</dcterms:created>
  <dcterms:modified xsi:type="dcterms:W3CDTF">2026-07-12T11:06:40Z</dcterms:modified>
</cp:coreProperties>
</file>